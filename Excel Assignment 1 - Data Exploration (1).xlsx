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C3DF95A3-E8AD-4149-BA5A-48D2BA79B0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Excel assignment 1" sheetId="4" r:id="rId3"/>
  </sheets>
  <definedNames>
    <definedName name="_xlnm._FilterDatabase" localSheetId="2" hidden="1">'Excel assignment 1'!$B$1:$B$998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4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2" i="4"/>
  <c r="M16" i="4"/>
  <c r="M1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2" i="4"/>
  <c r="M10" i="4"/>
  <c r="M8" i="4"/>
  <c r="M6" i="4"/>
  <c r="M2" i="4"/>
</calcChain>
</file>

<file path=xl/sharedStrings.xml><?xml version="1.0" encoding="utf-8"?>
<sst xmlns="http://schemas.openxmlformats.org/spreadsheetml/2006/main" count="306" uniqueCount="122">
  <si>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</si>
  <si>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</si>
  <si>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</si>
  <si>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</si>
  <si>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</si>
  <si>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</si>
  <si>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</si>
  <si>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</si>
  <si>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</si>
  <si>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</si>
  <si>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</si>
  <si>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</si>
  <si>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</si>
  <si>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</si>
  <si>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</si>
  <si>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</si>
  <si>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</si>
  <si>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</si>
  <si>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</si>
  <si>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</si>
  <si>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</si>
  <si>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</si>
  <si>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</si>
  <si>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</si>
  <si>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</si>
  <si>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</si>
  <si>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</si>
  <si>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</si>
  <si>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</si>
  <si>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</si>
  <si>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</si>
  <si>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</si>
  <si>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</si>
  <si>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</si>
  <si>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</si>
  <si>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</si>
  <si>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</si>
  <si>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</si>
  <si>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</si>
  <si>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</si>
  <si>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</si>
  <si>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</si>
  <si>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</si>
  <si>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</si>
  <si>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</si>
  <si>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</si>
  <si>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</si>
  <si>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</si>
  <si>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</si>
  <si>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</si>
  <si>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</si>
  <si>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</si>
  <si>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</si>
  <si>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</si>
  <si>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</si>
  <si>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</si>
  <si>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</si>
  <si>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</si>
  <si>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</si>
  <si>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</si>
  <si>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</si>
  <si>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</si>
  <si>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</si>
  <si>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</si>
  <si>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</si>
  <si>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</si>
  <si>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</si>
  <si>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</si>
  <si>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</si>
  <si>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</si>
  <si>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</si>
  <si>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</si>
  <si>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</si>
  <si>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</si>
  <si>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</si>
  <si>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</si>
  <si>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</si>
  <si>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</si>
  <si>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</si>
  <si>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</si>
  <si>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</si>
  <si>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</si>
  <si>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</si>
  <si>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</si>
  <si>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</si>
  <si>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</si>
  <si>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</si>
  <si>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</si>
  <si>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</si>
  <si>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</si>
  <si>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</si>
  <si>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</si>
  <si>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</si>
  <si>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</si>
  <si>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</si>
  <si>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</si>
  <si>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</si>
  <si>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</si>
  <si>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</si>
  <si>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</si>
  <si>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</si>
  <si>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</si>
  <si>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</si>
  <si>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</si>
  <si>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</si>
  <si>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</si>
  <si>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</si>
  <si>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</si>
  <si>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</si>
  <si>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</si>
  <si>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1)SUM of products price </t>
  </si>
  <si>
    <t>1)COUNT of products</t>
  </si>
  <si>
    <t>1)AVERAGE price of products</t>
  </si>
  <si>
    <t>2)MAXIMUM price amoung all products</t>
  </si>
  <si>
    <t>2)MINIMUM price amoung all products</t>
  </si>
  <si>
    <t>Pricing Range</t>
  </si>
  <si>
    <t>3)IF Function</t>
  </si>
  <si>
    <t>4)SUMIF price for electronics</t>
  </si>
  <si>
    <t>5)COUNT IF function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</si>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</sst>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rgb="FF4DD0E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5" borderId="1" xfId="0" applyFont="1" applyFill="1" applyBorder="1"/>
    <xf numFmtId="0" fontId="8" fillId="2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5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B2FE-3007-4C93-AF6F-2DA692846F99}">
  <sheetPr>
    <outlinePr summaryBelow="0" summaryRight="0"/>
  </sheetPr>
  <dimension ref="A1:M998"/>
  <sheetViews>
    <sheetView tabSelected="1" workbookViewId="0">
      <selection activeCell="N20" sqref="N2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7" width="12.6640625" customWidth="1"/>
    <col min="8" max="8" width="12.6640625" style="14"/>
    <col min="10" max="10" width="15.21875" customWidth="1"/>
    <col min="11" max="11" width="12.6640625" customWidth="1"/>
    <col min="12" max="12" width="28.21875" customWidth="1"/>
  </cols>
  <sheetData>
    <row r="1" spans="1:13" ht="15.75" customHeight="1" x14ac:dyDescent="0.25">
      <c r="A1" s="5" t="s">
        <v>17</v>
      </c>
      <c r="B1" s="11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115</v>
      </c>
      <c r="H1" s="5" t="s">
        <v>119</v>
      </c>
      <c r="I1" s="5" t="s">
        <v>120</v>
      </c>
      <c r="J1" s="5" t="s">
        <v>121</v>
      </c>
    </row>
    <row r="2" spans="1:13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Price",IF(D2&lt;=500,"Standard Price"))</f>
        <v>High Price</v>
      </c>
      <c r="H2" s="12" t="str">
        <f>LEFT(A2,2)</f>
        <v>28</v>
      </c>
      <c r="I2" s="7" t="str">
        <f>RIGHT(A2,2)</f>
        <v>US</v>
      </c>
      <c r="J2" s="7" t="str">
        <f>MID(A2,4,3)</f>
        <v>JAN</v>
      </c>
      <c r="K2" s="17" t="s">
        <v>110</v>
      </c>
      <c r="L2" s="17"/>
      <c r="M2" s="10">
        <f>SUM(D:D)</f>
        <v>9100</v>
      </c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f t="shared" ref="G3:G33" si="0">IF(D3&gt;=500,"High Price",IF(D3&lt;=500,"Standard Price"))</f>
        <v>Standard Price</v>
      </c>
      <c r="H3" s="13" t="str">
        <f t="shared" ref="H3:H33" si="1">LEFT(A3,2)</f>
        <v>15</v>
      </c>
      <c r="I3" s="8" t="str">
        <f t="shared" ref="I3:I33" si="2">RIGHT(A3,2)</f>
        <v>US</v>
      </c>
      <c r="J3" s="8" t="str">
        <f t="shared" ref="J3:J33" si="3">MID(A3,4,3)</f>
        <v>FEB</v>
      </c>
    </row>
    <row r="4" spans="1:13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12" t="str">
        <f t="shared" si="1"/>
        <v>03</v>
      </c>
      <c r="I4" s="7" t="str">
        <f t="shared" si="2"/>
        <v>US</v>
      </c>
      <c r="J4" s="7" t="str">
        <f t="shared" si="3"/>
        <v>MAR</v>
      </c>
      <c r="K4" s="17" t="s">
        <v>111</v>
      </c>
      <c r="L4" s="17"/>
      <c r="M4" s="10">
        <f>COUNT(B:B)</f>
        <v>0</v>
      </c>
    </row>
    <row r="5" spans="1:13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tr">
        <f t="shared" si="0"/>
        <v>High Price</v>
      </c>
      <c r="H5" s="13" t="str">
        <f t="shared" si="1"/>
        <v>11</v>
      </c>
      <c r="I5" s="8" t="str">
        <f t="shared" si="2"/>
        <v>US</v>
      </c>
      <c r="J5" s="8" t="str">
        <f t="shared" si="3"/>
        <v>APR</v>
      </c>
    </row>
    <row r="6" spans="1:13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12" t="str">
        <f t="shared" si="1"/>
        <v>22</v>
      </c>
      <c r="I6" s="7" t="str">
        <f t="shared" si="2"/>
        <v>US</v>
      </c>
      <c r="J6" s="7" t="str">
        <f t="shared" si="3"/>
        <v>MAY</v>
      </c>
      <c r="K6" s="17" t="s">
        <v>112</v>
      </c>
      <c r="L6" s="17"/>
      <c r="M6" s="10">
        <f>AVERAGE(D:D)</f>
        <v>284.375</v>
      </c>
    </row>
    <row r="7" spans="1:13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 t="str">
        <f t="shared" si="0"/>
        <v>Standard Price</v>
      </c>
      <c r="H7" s="13" t="str">
        <f t="shared" si="1"/>
        <v>07</v>
      </c>
      <c r="I7" s="8" t="str">
        <f t="shared" si="2"/>
        <v>UK</v>
      </c>
      <c r="J7" s="8" t="str">
        <f t="shared" si="3"/>
        <v>JUN</v>
      </c>
    </row>
    <row r="8" spans="1:13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12" t="str">
        <f t="shared" si="1"/>
        <v>19</v>
      </c>
      <c r="I8" s="7" t="str">
        <f t="shared" si="2"/>
        <v>UK</v>
      </c>
      <c r="J8" s="7" t="str">
        <f t="shared" si="3"/>
        <v>JUL</v>
      </c>
      <c r="K8" s="17" t="s">
        <v>114</v>
      </c>
      <c r="L8" s="18"/>
      <c r="M8" s="10">
        <f>MIN(D:D)</f>
        <v>30</v>
      </c>
    </row>
    <row r="9" spans="1:1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 t="str">
        <f t="shared" si="0"/>
        <v>Standard Price</v>
      </c>
      <c r="H9" s="13" t="str">
        <f t="shared" si="1"/>
        <v>23</v>
      </c>
      <c r="I9" s="8" t="str">
        <f t="shared" si="2"/>
        <v>UK</v>
      </c>
      <c r="J9" s="8" t="str">
        <f t="shared" si="3"/>
        <v>AUG</v>
      </c>
    </row>
    <row r="10" spans="1:13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12" t="str">
        <f t="shared" si="1"/>
        <v>05</v>
      </c>
      <c r="I10" s="7" t="str">
        <f t="shared" si="2"/>
        <v>UK</v>
      </c>
      <c r="J10" s="7" t="str">
        <f t="shared" si="3"/>
        <v>SEP</v>
      </c>
      <c r="K10" s="17" t="s">
        <v>113</v>
      </c>
      <c r="L10" s="18"/>
      <c r="M10" s="10">
        <f>MAX(D:D)</f>
        <v>1000</v>
      </c>
    </row>
    <row r="11" spans="1:1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 t="str">
        <f t="shared" si="0"/>
        <v>Standard Price</v>
      </c>
      <c r="H11" s="13" t="str">
        <f t="shared" si="1"/>
        <v>14</v>
      </c>
      <c r="I11" s="8" t="str">
        <f t="shared" si="2"/>
        <v>UK</v>
      </c>
      <c r="J11" s="8" t="str">
        <f t="shared" si="3"/>
        <v>OCT</v>
      </c>
    </row>
    <row r="12" spans="1:13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12" t="str">
        <f t="shared" si="1"/>
        <v>17</v>
      </c>
      <c r="I12" s="7" t="str">
        <f t="shared" si="2"/>
        <v>IN</v>
      </c>
      <c r="J12" s="7" t="str">
        <f t="shared" si="3"/>
        <v>JUN</v>
      </c>
      <c r="K12" s="17" t="s">
        <v>116</v>
      </c>
      <c r="L12" s="18"/>
      <c r="M12" s="10" t="s">
        <v>115</v>
      </c>
    </row>
    <row r="13" spans="1:13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8" t="str">
        <f t="shared" si="0"/>
        <v>Standard Price</v>
      </c>
      <c r="H13" s="13" t="str">
        <f t="shared" si="1"/>
        <v>25</v>
      </c>
      <c r="I13" s="8" t="str">
        <f t="shared" si="2"/>
        <v>AU</v>
      </c>
      <c r="J13" s="8" t="str">
        <f t="shared" si="3"/>
        <v>NOV</v>
      </c>
    </row>
    <row r="14" spans="1:13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12" t="str">
        <f t="shared" si="1"/>
        <v>08</v>
      </c>
      <c r="I14" s="7" t="str">
        <f t="shared" si="2"/>
        <v>DE</v>
      </c>
      <c r="J14" s="7" t="str">
        <f t="shared" si="3"/>
        <v>DEC</v>
      </c>
      <c r="K14" s="17" t="s">
        <v>117</v>
      </c>
      <c r="L14" s="18"/>
      <c r="M14" s="10">
        <f>SUMIF(F:F,"Electronics",D:D)</f>
        <v>7100</v>
      </c>
    </row>
    <row r="15" spans="1:13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 t="str">
        <f t="shared" si="0"/>
        <v>Standard Price</v>
      </c>
      <c r="H15" s="13" t="str">
        <f t="shared" si="1"/>
        <v>18</v>
      </c>
      <c r="I15" s="8" t="str">
        <f t="shared" si="2"/>
        <v>CA</v>
      </c>
      <c r="J15" s="8" t="str">
        <f t="shared" si="3"/>
        <v>FEB</v>
      </c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12" t="str">
        <f t="shared" si="1"/>
        <v>16</v>
      </c>
      <c r="I16" s="7" t="str">
        <f t="shared" si="2"/>
        <v>ES</v>
      </c>
      <c r="J16" s="7" t="str">
        <f t="shared" si="3"/>
        <v>APR</v>
      </c>
      <c r="K16" s="17" t="s">
        <v>118</v>
      </c>
      <c r="L16" s="18"/>
      <c r="M16" s="10">
        <f>COUNTIF(D:D,"&lt;100")</f>
        <v>10</v>
      </c>
    </row>
    <row r="17" spans="1:11" ht="15.75" customHeight="1" x14ac:dyDescent="0.25">
      <c r="A17" s="7" t="s">
        <v>71</v>
      </c>
      <c r="B17" s="7" t="s">
        <v>63</v>
      </c>
      <c r="C17" s="7" t="s">
        <v>72</v>
      </c>
      <c r="D17" s="7">
        <v>160</v>
      </c>
      <c r="E17" s="7">
        <v>15</v>
      </c>
      <c r="F17" s="7" t="s">
        <v>26</v>
      </c>
      <c r="G17" s="7" t="str">
        <f t="shared" si="0"/>
        <v>Standard Price</v>
      </c>
      <c r="H17" s="12" t="str">
        <f t="shared" si="1"/>
        <v>20</v>
      </c>
      <c r="I17" s="7" t="str">
        <f t="shared" si="2"/>
        <v>CN</v>
      </c>
      <c r="J17" s="7" t="str">
        <f t="shared" si="3"/>
        <v>AUG</v>
      </c>
    </row>
    <row r="18" spans="1:11" ht="15.75" customHeight="1" x14ac:dyDescent="0.25">
      <c r="A18" s="8" t="s">
        <v>73</v>
      </c>
      <c r="B18" s="8" t="s">
        <v>24</v>
      </c>
      <c r="C18" s="8" t="s">
        <v>74</v>
      </c>
      <c r="D18" s="8">
        <v>980</v>
      </c>
      <c r="E18" s="8">
        <v>10</v>
      </c>
      <c r="F18" s="8" t="s">
        <v>26</v>
      </c>
      <c r="G18" s="8" t="str">
        <f t="shared" si="0"/>
        <v>High Price</v>
      </c>
      <c r="H18" s="13" t="str">
        <f t="shared" si="1"/>
        <v>27</v>
      </c>
      <c r="I18" s="8" t="str">
        <f t="shared" si="2"/>
        <v>IT</v>
      </c>
      <c r="J18" s="8" t="str">
        <f t="shared" si="3"/>
        <v>JAN</v>
      </c>
      <c r="K18" s="15"/>
    </row>
    <row r="19" spans="1:11" ht="15.75" customHeight="1" x14ac:dyDescent="0.25">
      <c r="A19" s="7" t="s">
        <v>75</v>
      </c>
      <c r="B19" s="7" t="s">
        <v>76</v>
      </c>
      <c r="C19" s="7" t="s">
        <v>77</v>
      </c>
      <c r="D19" s="7">
        <v>150</v>
      </c>
      <c r="E19" s="7">
        <v>15</v>
      </c>
      <c r="F19" s="7" t="s">
        <v>30</v>
      </c>
      <c r="G19" s="7" t="str">
        <f t="shared" si="0"/>
        <v>Standard Price</v>
      </c>
      <c r="H19" s="12" t="str">
        <f t="shared" si="1"/>
        <v>01</v>
      </c>
      <c r="I19" s="7" t="str">
        <f t="shared" si="2"/>
        <v>UK</v>
      </c>
      <c r="J19" s="7" t="str">
        <f t="shared" si="3"/>
        <v>MAR</v>
      </c>
    </row>
    <row r="20" spans="1:11" ht="15.75" customHeight="1" x14ac:dyDescent="0.25">
      <c r="A20" s="8" t="s">
        <v>78</v>
      </c>
      <c r="B20" s="8" t="s">
        <v>79</v>
      </c>
      <c r="C20" s="8" t="s">
        <v>80</v>
      </c>
      <c r="D20" s="8">
        <v>200</v>
      </c>
      <c r="E20" s="8">
        <v>10</v>
      </c>
      <c r="F20" s="8" t="s">
        <v>41</v>
      </c>
      <c r="G20" s="8" t="str">
        <f t="shared" si="0"/>
        <v>Standard Price</v>
      </c>
      <c r="H20" s="13" t="str">
        <f t="shared" si="1"/>
        <v>14</v>
      </c>
      <c r="I20" s="8" t="str">
        <f t="shared" si="2"/>
        <v>US</v>
      </c>
      <c r="J20" s="8" t="str">
        <f t="shared" si="3"/>
        <v>AUG</v>
      </c>
    </row>
    <row r="21" spans="1:11" ht="15.75" customHeight="1" x14ac:dyDescent="0.25">
      <c r="A21" s="7" t="s">
        <v>81</v>
      </c>
      <c r="B21" s="7" t="s">
        <v>82</v>
      </c>
      <c r="C21" s="7" t="s">
        <v>83</v>
      </c>
      <c r="D21" s="7">
        <v>700</v>
      </c>
      <c r="E21" s="7">
        <v>50</v>
      </c>
      <c r="F21" s="7" t="s">
        <v>26</v>
      </c>
      <c r="G21" s="7" t="str">
        <f t="shared" si="0"/>
        <v>High Price</v>
      </c>
      <c r="H21" s="12" t="str">
        <f t="shared" si="1"/>
        <v>14</v>
      </c>
      <c r="I21" s="7" t="str">
        <f t="shared" si="2"/>
        <v>RU</v>
      </c>
      <c r="J21" s="7" t="str">
        <f t="shared" si="3"/>
        <v>MAY</v>
      </c>
    </row>
    <row r="22" spans="1:11" ht="15.75" customHeight="1" x14ac:dyDescent="0.25">
      <c r="A22" s="8" t="s">
        <v>84</v>
      </c>
      <c r="B22" s="8" t="s">
        <v>85</v>
      </c>
      <c r="C22" s="8" t="s">
        <v>86</v>
      </c>
      <c r="D22" s="8">
        <v>80</v>
      </c>
      <c r="E22" s="8">
        <v>20</v>
      </c>
      <c r="F22" s="8" t="s">
        <v>34</v>
      </c>
      <c r="G22" s="8" t="str">
        <f t="shared" si="0"/>
        <v>Standard Price</v>
      </c>
      <c r="H22" s="13" t="str">
        <f t="shared" si="1"/>
        <v>09</v>
      </c>
      <c r="I22" s="8" t="str">
        <f t="shared" si="2"/>
        <v>CA</v>
      </c>
      <c r="J22" s="8" t="str">
        <f t="shared" si="3"/>
        <v>JAN</v>
      </c>
    </row>
    <row r="23" spans="1:11" ht="15.75" customHeight="1" x14ac:dyDescent="0.25">
      <c r="A23" s="7" t="s">
        <v>87</v>
      </c>
      <c r="B23" s="7" t="s">
        <v>88</v>
      </c>
      <c r="C23" s="7" t="s">
        <v>89</v>
      </c>
      <c r="D23" s="7">
        <v>150</v>
      </c>
      <c r="E23" s="7">
        <v>30</v>
      </c>
      <c r="F23" s="7" t="s">
        <v>26</v>
      </c>
      <c r="G23" s="7" t="str">
        <f t="shared" si="0"/>
        <v>Standard Price</v>
      </c>
      <c r="H23" s="12" t="str">
        <f t="shared" si="1"/>
        <v>19</v>
      </c>
      <c r="I23" s="7" t="str">
        <f t="shared" si="2"/>
        <v>BR</v>
      </c>
      <c r="J23" s="7" t="str">
        <f t="shared" si="3"/>
        <v>JUL</v>
      </c>
    </row>
    <row r="24" spans="1:11" ht="15.75" customHeight="1" x14ac:dyDescent="0.25">
      <c r="A24" s="8" t="s">
        <v>67</v>
      </c>
      <c r="B24" s="8" t="s">
        <v>68</v>
      </c>
      <c r="C24" s="8" t="s">
        <v>69</v>
      </c>
      <c r="D24" s="8">
        <v>50</v>
      </c>
      <c r="E24" s="8">
        <v>35</v>
      </c>
      <c r="F24" s="8" t="s">
        <v>70</v>
      </c>
      <c r="G24" s="8" t="str">
        <f t="shared" si="0"/>
        <v>Standard Price</v>
      </c>
      <c r="H24" s="13" t="str">
        <f t="shared" si="1"/>
        <v>21</v>
      </c>
      <c r="I24" s="8" t="str">
        <f t="shared" si="2"/>
        <v>CA</v>
      </c>
      <c r="J24" s="8" t="str">
        <f t="shared" si="3"/>
        <v>AUG</v>
      </c>
    </row>
    <row r="25" spans="1:11" ht="15.75" customHeight="1" x14ac:dyDescent="0.25">
      <c r="A25" s="7" t="s">
        <v>90</v>
      </c>
      <c r="B25" s="7" t="s">
        <v>36</v>
      </c>
      <c r="C25" s="7" t="s">
        <v>91</v>
      </c>
      <c r="D25" s="7">
        <v>800</v>
      </c>
      <c r="E25" s="7">
        <v>45</v>
      </c>
      <c r="F25" s="7" t="s">
        <v>26</v>
      </c>
      <c r="G25" s="7" t="str">
        <f t="shared" si="0"/>
        <v>High Price</v>
      </c>
      <c r="H25" s="12" t="str">
        <f t="shared" si="1"/>
        <v>29</v>
      </c>
      <c r="I25" s="7" t="str">
        <f t="shared" si="2"/>
        <v>CA</v>
      </c>
      <c r="J25" s="7" t="str">
        <f t="shared" si="3"/>
        <v>SEP</v>
      </c>
    </row>
    <row r="26" spans="1:11" ht="15.75" customHeight="1" x14ac:dyDescent="0.25">
      <c r="A26" s="8" t="s">
        <v>92</v>
      </c>
      <c r="B26" s="8" t="s">
        <v>76</v>
      </c>
      <c r="C26" s="8" t="s">
        <v>93</v>
      </c>
      <c r="D26" s="8">
        <v>130</v>
      </c>
      <c r="E26" s="8">
        <v>25</v>
      </c>
      <c r="F26" s="8" t="s">
        <v>30</v>
      </c>
      <c r="G26" s="8" t="str">
        <f t="shared" si="0"/>
        <v>Standard Price</v>
      </c>
      <c r="H26" s="13" t="str">
        <f t="shared" si="1"/>
        <v>03</v>
      </c>
      <c r="I26" s="8" t="str">
        <f t="shared" si="2"/>
        <v>CA</v>
      </c>
      <c r="J26" s="8" t="str">
        <f t="shared" si="3"/>
        <v>JUN</v>
      </c>
    </row>
    <row r="27" spans="1:11" ht="15.75" customHeight="1" x14ac:dyDescent="0.25">
      <c r="A27" s="7" t="s">
        <v>94</v>
      </c>
      <c r="B27" s="7" t="s">
        <v>49</v>
      </c>
      <c r="C27" s="7" t="s">
        <v>95</v>
      </c>
      <c r="D27" s="7">
        <v>400</v>
      </c>
      <c r="E27" s="7">
        <v>40</v>
      </c>
      <c r="F27" s="7" t="s">
        <v>34</v>
      </c>
      <c r="G27" s="7" t="str">
        <f t="shared" si="0"/>
        <v>Standard Price</v>
      </c>
      <c r="H27" s="12" t="str">
        <f t="shared" si="1"/>
        <v>11</v>
      </c>
      <c r="I27" s="7" t="str">
        <f t="shared" si="2"/>
        <v>CA</v>
      </c>
      <c r="J27" s="7" t="str">
        <f t="shared" si="3"/>
        <v>JUL</v>
      </c>
    </row>
    <row r="28" spans="1:11" ht="15.75" customHeight="1" x14ac:dyDescent="0.25">
      <c r="A28" s="8" t="s">
        <v>65</v>
      </c>
      <c r="B28" s="8" t="s">
        <v>43</v>
      </c>
      <c r="C28" s="8" t="s">
        <v>66</v>
      </c>
      <c r="D28" s="8">
        <v>230</v>
      </c>
      <c r="E28" s="8">
        <v>20</v>
      </c>
      <c r="F28" s="8" t="s">
        <v>26</v>
      </c>
      <c r="G28" s="8" t="str">
        <f t="shared" si="0"/>
        <v>Standard Price</v>
      </c>
      <c r="H28" s="13" t="str">
        <f t="shared" si="1"/>
        <v>16</v>
      </c>
      <c r="I28" s="8" t="str">
        <f t="shared" si="2"/>
        <v>ES</v>
      </c>
      <c r="J28" s="8" t="str">
        <f t="shared" si="3"/>
        <v>APR</v>
      </c>
    </row>
    <row r="29" spans="1:11" ht="15.75" customHeight="1" x14ac:dyDescent="0.25">
      <c r="A29" s="7" t="s">
        <v>96</v>
      </c>
      <c r="B29" s="7" t="s">
        <v>97</v>
      </c>
      <c r="C29" s="7" t="s">
        <v>98</v>
      </c>
      <c r="D29" s="7">
        <v>60</v>
      </c>
      <c r="E29" s="7">
        <v>30</v>
      </c>
      <c r="F29" s="7" t="s">
        <v>30</v>
      </c>
      <c r="G29" s="7" t="str">
        <f t="shared" si="0"/>
        <v>Standard Price</v>
      </c>
      <c r="H29" s="12" t="str">
        <f t="shared" si="1"/>
        <v>07</v>
      </c>
      <c r="I29" s="7" t="str">
        <f t="shared" si="2"/>
        <v>CA</v>
      </c>
      <c r="J29" s="7" t="str">
        <f t="shared" si="3"/>
        <v>MAR</v>
      </c>
    </row>
    <row r="30" spans="1:11" ht="15.75" customHeight="1" x14ac:dyDescent="0.25">
      <c r="A30" s="8" t="s">
        <v>99</v>
      </c>
      <c r="B30" s="8" t="s">
        <v>100</v>
      </c>
      <c r="C30" s="8" t="s">
        <v>101</v>
      </c>
      <c r="D30" s="8">
        <v>40</v>
      </c>
      <c r="E30" s="8">
        <v>10</v>
      </c>
      <c r="F30" s="8" t="s">
        <v>34</v>
      </c>
      <c r="G30" s="8" t="str">
        <f t="shared" si="0"/>
        <v>Standard Price</v>
      </c>
      <c r="H30" s="13" t="str">
        <f t="shared" si="1"/>
        <v>13</v>
      </c>
      <c r="I30" s="8" t="str">
        <f t="shared" si="2"/>
        <v>CA</v>
      </c>
      <c r="J30" s="8" t="str">
        <f t="shared" si="3"/>
        <v>APR</v>
      </c>
    </row>
    <row r="31" spans="1:11" ht="15.75" customHeight="1" x14ac:dyDescent="0.25">
      <c r="A31" s="7" t="s">
        <v>102</v>
      </c>
      <c r="B31" s="7" t="s">
        <v>88</v>
      </c>
      <c r="C31" s="7" t="s">
        <v>103</v>
      </c>
      <c r="D31" s="7">
        <v>130</v>
      </c>
      <c r="E31" s="7">
        <v>5</v>
      </c>
      <c r="F31" s="7" t="s">
        <v>26</v>
      </c>
      <c r="G31" s="7" t="str">
        <f t="shared" si="0"/>
        <v>Standard Price</v>
      </c>
      <c r="H31" s="12" t="str">
        <f t="shared" si="1"/>
        <v>24</v>
      </c>
      <c r="I31" s="7" t="str">
        <f t="shared" si="2"/>
        <v>CA</v>
      </c>
      <c r="J31" s="7" t="str">
        <f t="shared" si="3"/>
        <v>MAY</v>
      </c>
    </row>
    <row r="32" spans="1:11" ht="15.75" customHeight="1" x14ac:dyDescent="0.25">
      <c r="A32" s="8" t="s">
        <v>104</v>
      </c>
      <c r="B32" s="8" t="s">
        <v>105</v>
      </c>
      <c r="C32" s="8" t="s">
        <v>106</v>
      </c>
      <c r="D32" s="8">
        <v>50</v>
      </c>
      <c r="E32" s="8">
        <v>50</v>
      </c>
      <c r="F32" s="8" t="s">
        <v>30</v>
      </c>
      <c r="G32" s="8" t="str">
        <f t="shared" si="0"/>
        <v>Standard Price</v>
      </c>
      <c r="H32" s="13" t="str">
        <f t="shared" si="1"/>
        <v>02</v>
      </c>
      <c r="I32" s="8" t="str">
        <f t="shared" si="2"/>
        <v>CA</v>
      </c>
      <c r="J32" s="8" t="str">
        <f t="shared" si="3"/>
        <v>DEC</v>
      </c>
    </row>
    <row r="33" spans="1:10" ht="15.75" customHeight="1" x14ac:dyDescent="0.25">
      <c r="A33" s="8" t="s">
        <v>107</v>
      </c>
      <c r="B33" s="8" t="s">
        <v>108</v>
      </c>
      <c r="C33" s="8" t="s">
        <v>109</v>
      </c>
      <c r="D33" s="8">
        <v>100</v>
      </c>
      <c r="E33" s="8">
        <v>20</v>
      </c>
      <c r="F33" s="8" t="s">
        <v>70</v>
      </c>
      <c r="G33" s="8" t="str">
        <f t="shared" si="0"/>
        <v>Standard Price</v>
      </c>
      <c r="H33" s="13" t="str">
        <f t="shared" si="1"/>
        <v>09</v>
      </c>
      <c r="I33" s="8" t="str">
        <f t="shared" si="2"/>
        <v>FR</v>
      </c>
      <c r="J33" s="8" t="str">
        <f t="shared" si="3"/>
        <v>JUL</v>
      </c>
    </row>
    <row r="34" spans="1:10" ht="15.75" customHeight="1" x14ac:dyDescent="0.25"/>
    <row r="35" spans="1:10" ht="15.75" customHeight="1" x14ac:dyDescent="0.25"/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8">
    <mergeCell ref="K16:L16"/>
    <mergeCell ref="K12:L12"/>
    <mergeCell ref="K14:L14"/>
    <mergeCell ref="K2:L2"/>
    <mergeCell ref="K4:L4"/>
    <mergeCell ref="K6:L6"/>
    <mergeCell ref="K8:L8"/>
    <mergeCell ref="K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Excel 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</cp:lastModifiedBy>
  <dcterms:modified xsi:type="dcterms:W3CDTF">2026-04-04T06:22:25Z</dcterms:modified>
</cp:coreProperties>
</file>