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yanka\Downloads\Assignments\"/>
    </mc:Choice>
  </mc:AlternateContent>
  <xr:revisionPtr revIDLastSave="0" documentId="13_ncr:1_{28C497DC-0535-4A29-B65D-E899913874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 Cleaning-Dummy" sheetId="6" r:id="rId3"/>
  </sheets>
  <definedNames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" i="6"/>
  <c r="G4" i="6"/>
  <c r="G5" i="6"/>
  <c r="G6" i="6"/>
  <c r="G2" i="6"/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</calcChain>
</file>

<file path=xl/sharedStrings.xml><?xml version="1.0" encoding="utf-8"?>
<sst xmlns="http://schemas.openxmlformats.org/spreadsheetml/2006/main" count="321" uniqueCount="135">
  <si>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</si>
  <si>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</si>
  <si>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</si>
  <si>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</si>
  <si>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</si>
  <si>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</si>
  <si>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</si>
  <si>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</si>
  <si>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</si>
  <si>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</si>
  <si>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</si>
  <si>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</si>
  <si>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</si>
  <si>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</si>
  <si>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</si>
  <si>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</si>
  <si>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</si>
  <si>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</si>
  <si>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</si>
  <si>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</si>
  <si>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</si>
  <si>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</si>
  <si>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</si>
  <si>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</si>
  <si>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</si>
  <si>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</si>
  <si>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</si>
  <si>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</si>
  <si>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</si>
  <si>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</si>
  <si>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</si>
  <si>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</si>
  <si>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</si>
  <si>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</si>
  <si>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</si>
  <si>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</si>
  <si>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</si>
  <si>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</si>
  <si>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</si>
  <si>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</si>
  <si>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</si>
  <si>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</si>
  <si>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</si>
  <si>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</si>
  <si>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</si>
  <si>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</si>
  <si>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</si>
  <si>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</si>
  <si>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</si>
  <si>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</si>
  <si>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</si>
  <si>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</si>
  <si>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</si>
  <si>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</si>
  <si>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</si>
  <si>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</si>
  <si>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</si>
  <si>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</si>
  <si>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</si>
  <si>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</si>
  <si>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</si>
  <si>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</si>
  <si>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</si>
  <si>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</si>
  <si>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</si>
  <si>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</si>
  <si>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</si>
  <si>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</si>
  <si>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</si>
  <si>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</si>
  <si>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</si>
  <si>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</si>
  <si>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</si>
  <si>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</si>
  <si>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</si>
  <si>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</si>
  <si>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</si>
  <si>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</si>
  <si>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</si>
  <si>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</si>
  <si>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</si>
  <si>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</si>
  <si>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</si>
  <si>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</si>
  <si>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</si>
  <si>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</si>
  <si>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</si>
  <si>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</si>
  <si>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</si>
  <si>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</si>
  <si>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</si>
  <si>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</si>
  <si>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</si>
  <si>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</si>
  <si>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</si>
  <si>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</si>
  <si>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</si>
  <si>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</si>
  <si>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</si>
  <si>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</si>
  <si>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</si>
  <si>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</si>
  <si>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</si>
  <si>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</si>
  <si>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</si>
  <si>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</si>
  <si>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</si>
  <si>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</si>
  <si>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</si>
  <si>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</si>
  <si>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</si>
  <si>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</si>
  <si>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</si>
  <si>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</si>
  <si>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</si>
  <si>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</si>
  <si>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</si>
  <si>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Product Name2</t>
  </si>
  <si>
    <t>Manufaturing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</si>
  <si>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</si>
  <si>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</si>
  <si>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</si>
  <si>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</si>
  <si>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</si>
  <si>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</si>
  <si>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</si>
  <si>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</si>
  <si>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</si>
  <si>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</si>
  <si>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</si>
  <si>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</si>
  <si>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</si>
  <si>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</si>
  <si>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Category2</t>
  </si>
  <si>
    <t>DD-MM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</si>
</sst>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 applyAlignment="1">
      <alignment horizontal="center"/>
    </xf>
    <xf numFmtId="0" fontId="5" fillId="0" borderId="0" xfId="0" applyFont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164" fontId="5" fillId="0" borderId="0" xfId="0" applyNumberFormat="1" applyFont="1"/>
    <xf numFmtId="164" fontId="0" fillId="0" borderId="0" xfId="0" applyNumberFormat="1"/>
    <xf numFmtId="16" fontId="8" fillId="4" borderId="0" xfId="0" applyNumberFormat="1" applyFont="1" applyFill="1" applyAlignment="1">
      <alignment horizontal="center"/>
    </xf>
    <xf numFmtId="16" fontId="5" fillId="0" borderId="0" xfId="0" applyNumberFormat="1" applyFont="1"/>
    <xf numFmtId="16" fontId="5" fillId="3" borderId="0" xfId="0" applyNumberFormat="1" applyFont="1" applyFill="1"/>
    <xf numFmtId="16" fontId="0" fillId="0" borderId="0" xfId="0" applyNumberFormat="1"/>
    <xf numFmtId="164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left" indent="1"/>
    </xf>
    <xf numFmtId="164" fontId="5" fillId="0" borderId="0" xfId="0" applyNumberFormat="1" applyFont="1" applyAlignment="1">
      <alignment horizontal="left" indent="1"/>
    </xf>
    <xf numFmtId="164" fontId="5" fillId="3" borderId="0" xfId="0" applyNumberFormat="1" applyFont="1" applyFill="1" applyAlignment="1">
      <alignment horizontal="left" indent="1"/>
    </xf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7020C-6E6F-4476-9680-290C0275A207}" name="Table1" displayName="Table1" ref="A1:M32" totalsRowShown="0" headerRowDxfId="19" dataDxfId="18">
  <autoFilter ref="A1:M32" xr:uid="{B2A7020C-6E6F-4476-9680-290C0275A207}"/>
  <tableColumns count="13">
    <tableColumn id="1" xr3:uid="{8CA2E589-D1B2-4EA5-A31B-DFF8071A25ED}" name="Product ID" dataDxfId="17"/>
    <tableColumn id="2" xr3:uid="{FA9EF1EF-A322-4ED2-9260-78CA41A92FF4}" name="Product Name" dataDxfId="16"/>
    <tableColumn id="3" xr3:uid="{655DEAA8-AED8-4E23-9B0D-666C7030CCB1}" name="Brand Name" dataDxfId="15"/>
    <tableColumn id="4" xr3:uid="{102247BB-03AF-4391-8E0B-0E5FE4087197}" name="Price ($)" dataDxfId="14"/>
    <tableColumn id="5" xr3:uid="{E2576EDF-AE84-4A7A-9702-1124FA340F41}" name="Quantity" dataDxfId="13"/>
    <tableColumn id="6" xr3:uid="{CE7FEA4F-5BA0-4000-BFA6-708D030CF7E4}" name="Category" dataDxfId="12"/>
    <tableColumn id="9" xr3:uid="{A2414DA5-C71E-4781-A1DE-14E951A512DC}" name="Price" dataDxfId="11">
      <calculatedColumnFormula>IF(D2="",AVERAGE(D2:D32),D2)</calculatedColumnFormula>
    </tableColumn>
    <tableColumn id="10" xr3:uid="{835D8C2E-E260-4D52-93FE-B5B1C0F99A14}" name="Product Name2" dataDxfId="10">
      <calculatedColumnFormula>PROPER(Table1[[#This Row],[Product Name]])</calculatedColumnFormula>
    </tableColumn>
    <tableColumn id="15" xr3:uid="{CFB988CD-B148-4E60-A414-19D477ACF080}" name="Category2" dataDxfId="0">
      <calculatedColumnFormula>IF(F2=0,IF(B2="laptop","Electronics",IF(B2="Sneakers","Fashion",IF(B2="Coffee Maker","Kitchen",IF(B2="smartphone","Electronics",IF(B2="Backpack","Fashion",IF(B2="Headphones","Electronics",IF(B2="T-shitr","Fashion",IF(B2="Blender","Kitchen",IF(B2="Tablet","Electronics",IF(B2="Hiking Boots","Outdoor",IF(B2="Fitness Tracker","Electronics"))))))))))),F2)</calculatedColumnFormula>
    </tableColumn>
    <tableColumn id="16" xr3:uid="{612A64ED-C956-4913-BF79-13FC29CE93A1}" name="Manufaturing Date" dataDxfId="9"/>
    <tableColumn id="17" xr3:uid="{77B277F5-595F-4954-9616-BD6982D599F1}" name="Country Code" dataDxfId="8"/>
    <tableColumn id="19" xr3:uid="{85453474-5900-48CF-8644-5E94E6E0F20D}" name="Product Brand" dataDxfId="7">
      <calculatedColumnFormula>CONCATENATE(B2," ",C2)</calculatedColumnFormula>
    </tableColumn>
    <tableColumn id="20" xr3:uid="{EC2E8130-69FF-4E30-B1A5-EF7B021DDCC4}" name="DD-MM Format" dataDxfId="6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A2" sqref="A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L13" sqref="L13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1DCD-2CC3-46FF-9A57-94F2826A194F}">
  <sheetPr>
    <outlinePr summaryBelow="0" summaryRight="0"/>
  </sheetPr>
  <dimension ref="A1:M1000"/>
  <sheetViews>
    <sheetView tabSelected="1" topLeftCell="A10" workbookViewId="0">
      <selection activeCell="N24" sqref="N24"/>
    </sheetView>
  </sheetViews>
  <sheetFormatPr defaultColWidth="12.6640625" defaultRowHeight="15" customHeight="1" x14ac:dyDescent="0.25"/>
  <cols>
    <col min="1" max="1" width="12.77734375" customWidth="1"/>
    <col min="2" max="2" width="17.44140625" style="12" customWidth="1"/>
    <col min="3" max="4" width="13.44140625" style="12" customWidth="1"/>
    <col min="5" max="5" width="9.77734375" customWidth="1"/>
    <col min="6" max="6" width="13.44140625" style="12" customWidth="1"/>
    <col min="7" max="7" width="11" style="14" customWidth="1"/>
    <col min="8" max="8" width="16.6640625" style="23" customWidth="1"/>
    <col min="9" max="9" width="14.6640625" style="23" customWidth="1"/>
    <col min="10" max="10" width="17.5546875" customWidth="1"/>
    <col min="11" max="11" width="14.6640625" customWidth="1"/>
    <col min="12" max="12" width="21.44140625" customWidth="1"/>
    <col min="13" max="13" width="17" style="18" bestFit="1" customWidth="1"/>
  </cols>
  <sheetData>
    <row r="1" spans="1:13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9" t="s">
        <v>116</v>
      </c>
      <c r="H1" s="19" t="s">
        <v>117</v>
      </c>
      <c r="I1" s="20" t="s">
        <v>133</v>
      </c>
      <c r="J1" s="9" t="s">
        <v>118</v>
      </c>
      <c r="K1" s="9" t="s">
        <v>119</v>
      </c>
      <c r="L1" s="9" t="s">
        <v>132</v>
      </c>
      <c r="M1" s="15" t="s">
        <v>134</v>
      </c>
    </row>
    <row r="2" spans="1:13" ht="15.75" customHeight="1" x14ac:dyDescent="0.25">
      <c r="A2" s="5" t="s">
        <v>25</v>
      </c>
      <c r="B2" s="10" t="s">
        <v>26</v>
      </c>
      <c r="C2" s="10" t="s">
        <v>27</v>
      </c>
      <c r="D2" s="10">
        <v>1000</v>
      </c>
      <c r="E2" s="5">
        <v>30</v>
      </c>
      <c r="F2" s="10" t="s">
        <v>28</v>
      </c>
      <c r="G2" s="13">
        <f>IF(D2="",AVERAGE(D2:D32),D2)</f>
        <v>1000</v>
      </c>
      <c r="H2" s="21" t="str">
        <f>PROPER(Table1[[#This Row],[Product Name]])</f>
        <v>Laptop</v>
      </c>
      <c r="I2" s="21" t="str">
        <f t="shared" ref="I2:I32" si="0">IF(F2=0,IF(B2="laptop","Electronics",IF(B2="Sneakers","Fashion",IF(B2="Coffee Maker","Kitchen",IF(B2="smartphone","Electronics",IF(B2="Backpack","Fashion",IF(B2="Headphones","Electronics",IF(B2="T-shitr","Fashion",IF(B2="Blender","Kitchen",IF(B2="Tablet","Electronics",IF(B2="Hiking Boots","Outdoor",IF(B2="Fitness Tracker","Electronics"))))))))))),F2)</f>
        <v>Electronics</v>
      </c>
      <c r="J2" s="5">
        <v>28</v>
      </c>
      <c r="K2" s="5" t="s">
        <v>120</v>
      </c>
      <c r="L2" s="5" t="str">
        <f t="shared" ref="L2:L32" si="1">CONCATENATE(B2," ",C2)</f>
        <v>laptop Dell</v>
      </c>
      <c r="M2" s="16">
        <v>46050</v>
      </c>
    </row>
    <row r="3" spans="1:13" ht="15.75" customHeight="1" x14ac:dyDescent="0.25">
      <c r="A3" s="8" t="s">
        <v>29</v>
      </c>
      <c r="B3" s="11" t="s">
        <v>30</v>
      </c>
      <c r="C3" s="11" t="s">
        <v>31</v>
      </c>
      <c r="D3" s="11">
        <v>80</v>
      </c>
      <c r="E3" s="8">
        <v>15</v>
      </c>
      <c r="F3" s="11" t="s">
        <v>32</v>
      </c>
      <c r="G3" s="13">
        <f t="shared" ref="G3:G32" si="2">IF(D3="",AVERAGE(D3:D33),D3)</f>
        <v>80</v>
      </c>
      <c r="H3" s="22" t="str">
        <f>PROPER(Table1[[#This Row],[Product Name]])</f>
        <v>Sneakers</v>
      </c>
      <c r="I3" s="21" t="str">
        <f t="shared" si="0"/>
        <v>Fashion</v>
      </c>
      <c r="J3" s="8">
        <v>15</v>
      </c>
      <c r="K3" s="8" t="s">
        <v>120</v>
      </c>
      <c r="L3" s="8" t="str">
        <f t="shared" si="1"/>
        <v>Sneakers Nike</v>
      </c>
      <c r="M3" s="17">
        <v>46068</v>
      </c>
    </row>
    <row r="4" spans="1:13" ht="15.75" customHeight="1" x14ac:dyDescent="0.25">
      <c r="A4" s="5" t="s">
        <v>33</v>
      </c>
      <c r="B4" s="10" t="s">
        <v>34</v>
      </c>
      <c r="C4" s="10" t="s">
        <v>35</v>
      </c>
      <c r="D4" s="10">
        <v>130</v>
      </c>
      <c r="E4" s="5">
        <v>40</v>
      </c>
      <c r="F4" s="10" t="s">
        <v>36</v>
      </c>
      <c r="G4" s="13">
        <f t="shared" si="2"/>
        <v>130</v>
      </c>
      <c r="H4" s="21" t="str">
        <f>PROPER(Table1[[#This Row],[Product Name]])</f>
        <v>Coffee Maker</v>
      </c>
      <c r="I4" s="21" t="str">
        <f t="shared" si="0"/>
        <v>Kitchen</v>
      </c>
      <c r="J4" s="5">
        <v>3</v>
      </c>
      <c r="K4" s="5" t="s">
        <v>120</v>
      </c>
      <c r="L4" s="5" t="str">
        <f t="shared" si="1"/>
        <v>Coffee Maker Keurig</v>
      </c>
      <c r="M4" s="16">
        <v>46084</v>
      </c>
    </row>
    <row r="5" spans="1:13" ht="15.75" customHeight="1" x14ac:dyDescent="0.25">
      <c r="A5" s="8" t="s">
        <v>37</v>
      </c>
      <c r="B5" s="11" t="s">
        <v>38</v>
      </c>
      <c r="C5" s="11" t="s">
        <v>39</v>
      </c>
      <c r="D5" s="11">
        <v>900</v>
      </c>
      <c r="E5" s="8">
        <v>25</v>
      </c>
      <c r="F5" s="11" t="s">
        <v>28</v>
      </c>
      <c r="G5" s="13">
        <f t="shared" si="2"/>
        <v>900</v>
      </c>
      <c r="H5" s="22" t="str">
        <f>PROPER(Table1[[#This Row],[Product Name]])</f>
        <v>Smartphone</v>
      </c>
      <c r="I5" s="21" t="str">
        <f t="shared" si="0"/>
        <v>Electronics</v>
      </c>
      <c r="J5" s="8">
        <v>11</v>
      </c>
      <c r="K5" s="8" t="s">
        <v>120</v>
      </c>
      <c r="L5" s="8" t="str">
        <f t="shared" si="1"/>
        <v>smartphone Samsung</v>
      </c>
      <c r="M5" s="17">
        <v>46123</v>
      </c>
    </row>
    <row r="6" spans="1:13" ht="15.75" customHeight="1" x14ac:dyDescent="0.25">
      <c r="A6" s="5" t="s">
        <v>40</v>
      </c>
      <c r="B6" s="10" t="s">
        <v>41</v>
      </c>
      <c r="C6" s="10" t="s">
        <v>42</v>
      </c>
      <c r="D6" s="10">
        <v>70</v>
      </c>
      <c r="E6" s="5">
        <v>20</v>
      </c>
      <c r="F6" s="10"/>
      <c r="G6" s="13">
        <f t="shared" si="2"/>
        <v>70</v>
      </c>
      <c r="H6" s="21" t="str">
        <f>PROPER(Table1[[#This Row],[Product Name]])</f>
        <v>Backpack</v>
      </c>
      <c r="I6" s="21" t="str">
        <f t="shared" si="0"/>
        <v>Fashion</v>
      </c>
      <c r="J6" s="5">
        <v>22</v>
      </c>
      <c r="K6" s="5" t="s">
        <v>120</v>
      </c>
      <c r="L6" s="5" t="str">
        <f t="shared" si="1"/>
        <v>Backpack North Face</v>
      </c>
      <c r="M6" s="16">
        <v>46164</v>
      </c>
    </row>
    <row r="7" spans="1:13" ht="15.75" customHeight="1" x14ac:dyDescent="0.25">
      <c r="A7" s="8" t="s">
        <v>43</v>
      </c>
      <c r="B7" s="11" t="s">
        <v>44</v>
      </c>
      <c r="C7" s="11" t="s">
        <v>45</v>
      </c>
      <c r="D7" s="11"/>
      <c r="E7" s="8">
        <v>45</v>
      </c>
      <c r="F7" s="11" t="s">
        <v>28</v>
      </c>
      <c r="G7" s="13">
        <f>IF(D7="",AVERAGE(D7:D37),D7)</f>
        <v>267.82608695652175</v>
      </c>
      <c r="H7" s="22" t="str">
        <f>PROPER(Table1[[#This Row],[Product Name]])</f>
        <v>Headphones</v>
      </c>
      <c r="I7" s="21" t="str">
        <f t="shared" si="0"/>
        <v>Electronics</v>
      </c>
      <c r="J7" s="8">
        <v>7</v>
      </c>
      <c r="K7" s="8" t="s">
        <v>121</v>
      </c>
      <c r="L7" s="8" t="str">
        <f t="shared" si="1"/>
        <v>Headphones Sony</v>
      </c>
      <c r="M7" s="17">
        <v>46180</v>
      </c>
    </row>
    <row r="8" spans="1:13" ht="15.75" customHeight="1" x14ac:dyDescent="0.25">
      <c r="A8" s="5" t="s">
        <v>47</v>
      </c>
      <c r="B8" s="10" t="s">
        <v>48</v>
      </c>
      <c r="C8" s="10" t="s">
        <v>49</v>
      </c>
      <c r="D8" s="10">
        <v>30</v>
      </c>
      <c r="E8" s="5">
        <v>5</v>
      </c>
      <c r="F8" s="10" t="s">
        <v>32</v>
      </c>
      <c r="G8" s="13">
        <f t="shared" si="2"/>
        <v>30</v>
      </c>
      <c r="H8" s="21" t="str">
        <f>PROPER(Table1[[#This Row],[Product Name]])</f>
        <v>T-Shirt</v>
      </c>
      <c r="I8" s="21" t="str">
        <f t="shared" si="0"/>
        <v>Fashion</v>
      </c>
      <c r="J8" s="5">
        <v>19</v>
      </c>
      <c r="K8" s="5" t="s">
        <v>121</v>
      </c>
      <c r="L8" s="5" t="str">
        <f t="shared" si="1"/>
        <v>T-shirt Adidas</v>
      </c>
      <c r="M8" s="16">
        <v>46222</v>
      </c>
    </row>
    <row r="9" spans="1:13" ht="15.75" customHeight="1" x14ac:dyDescent="0.25">
      <c r="A9" s="8" t="s">
        <v>50</v>
      </c>
      <c r="B9" s="11" t="s">
        <v>51</v>
      </c>
      <c r="C9" s="11" t="s">
        <v>52</v>
      </c>
      <c r="D9" s="11">
        <v>90</v>
      </c>
      <c r="E9" s="8">
        <v>35</v>
      </c>
      <c r="F9" s="11" t="s">
        <v>36</v>
      </c>
      <c r="G9" s="13">
        <f t="shared" si="2"/>
        <v>90</v>
      </c>
      <c r="H9" s="22" t="str">
        <f>PROPER(Table1[[#This Row],[Product Name]])</f>
        <v>Blender</v>
      </c>
      <c r="I9" s="21" t="str">
        <f t="shared" si="0"/>
        <v>Kitchen</v>
      </c>
      <c r="J9" s="8">
        <v>23</v>
      </c>
      <c r="K9" s="8" t="s">
        <v>121</v>
      </c>
      <c r="L9" s="8" t="str">
        <f t="shared" si="1"/>
        <v>Blender Ninja</v>
      </c>
      <c r="M9" s="17">
        <v>46257</v>
      </c>
    </row>
    <row r="10" spans="1:13" ht="15.75" customHeight="1" x14ac:dyDescent="0.25">
      <c r="A10" s="5" t="s">
        <v>53</v>
      </c>
      <c r="B10" s="10" t="s">
        <v>54</v>
      </c>
      <c r="C10" s="10" t="s">
        <v>55</v>
      </c>
      <c r="D10" s="10">
        <v>500</v>
      </c>
      <c r="E10" s="5">
        <v>50</v>
      </c>
      <c r="F10" s="10" t="s">
        <v>28</v>
      </c>
      <c r="G10" s="13">
        <f t="shared" si="2"/>
        <v>500</v>
      </c>
      <c r="H10" s="21" t="str">
        <f>PROPER(Table1[[#This Row],[Product Name]])</f>
        <v>Tablet</v>
      </c>
      <c r="I10" s="21" t="str">
        <f t="shared" si="0"/>
        <v>Electronics</v>
      </c>
      <c r="J10" s="5">
        <v>5</v>
      </c>
      <c r="K10" s="5" t="s">
        <v>121</v>
      </c>
      <c r="L10" s="5" t="str">
        <f t="shared" si="1"/>
        <v>Tablet Apple</v>
      </c>
      <c r="M10" s="16">
        <v>46270</v>
      </c>
    </row>
    <row r="11" spans="1:13" ht="15.75" customHeight="1" x14ac:dyDescent="0.25">
      <c r="A11" s="8" t="s">
        <v>56</v>
      </c>
      <c r="B11" s="11" t="s">
        <v>57</v>
      </c>
      <c r="C11" s="11" t="s">
        <v>58</v>
      </c>
      <c r="D11" s="11">
        <v>130</v>
      </c>
      <c r="E11" s="8">
        <v>10</v>
      </c>
      <c r="F11" s="11" t="s">
        <v>59</v>
      </c>
      <c r="G11" s="13">
        <f t="shared" si="2"/>
        <v>130</v>
      </c>
      <c r="H11" s="22" t="str">
        <f>PROPER(Table1[[#This Row],[Product Name]])</f>
        <v>Hiking Boots</v>
      </c>
      <c r="I11" s="21" t="str">
        <f t="shared" si="0"/>
        <v>Outdoor</v>
      </c>
      <c r="J11" s="8">
        <v>14</v>
      </c>
      <c r="K11" s="8" t="s">
        <v>121</v>
      </c>
      <c r="L11" s="8" t="str">
        <f t="shared" si="1"/>
        <v>Hiking Boots Timberland</v>
      </c>
      <c r="M11" s="17">
        <v>46309</v>
      </c>
    </row>
    <row r="12" spans="1:13" ht="15.75" customHeight="1" x14ac:dyDescent="0.25">
      <c r="A12" s="5" t="s">
        <v>60</v>
      </c>
      <c r="B12" s="10" t="s">
        <v>61</v>
      </c>
      <c r="C12" s="10" t="s">
        <v>62</v>
      </c>
      <c r="D12" s="10">
        <v>950</v>
      </c>
      <c r="E12" s="5">
        <v>25</v>
      </c>
      <c r="F12" s="10" t="s">
        <v>28</v>
      </c>
      <c r="G12" s="13">
        <f t="shared" si="2"/>
        <v>950</v>
      </c>
      <c r="H12" s="21" t="str">
        <f>PROPER(Table1[[#This Row],[Product Name]])</f>
        <v>Laptop</v>
      </c>
      <c r="I12" s="21" t="str">
        <f t="shared" si="0"/>
        <v>Electronics</v>
      </c>
      <c r="J12" s="5">
        <v>17</v>
      </c>
      <c r="K12" s="5" t="s">
        <v>122</v>
      </c>
      <c r="L12" s="5" t="str">
        <f t="shared" si="1"/>
        <v>Laptop HP</v>
      </c>
      <c r="M12" s="16">
        <v>46190</v>
      </c>
    </row>
    <row r="13" spans="1:13" ht="15.75" customHeight="1" x14ac:dyDescent="0.25">
      <c r="A13" s="8" t="s">
        <v>63</v>
      </c>
      <c r="B13" s="11" t="s">
        <v>30</v>
      </c>
      <c r="C13" s="11" t="s">
        <v>49</v>
      </c>
      <c r="D13" s="11">
        <v>90</v>
      </c>
      <c r="E13" s="8">
        <v>40</v>
      </c>
      <c r="F13" s="11"/>
      <c r="G13" s="13">
        <f t="shared" si="2"/>
        <v>90</v>
      </c>
      <c r="H13" s="22" t="str">
        <f>PROPER(Table1[[#This Row],[Product Name]])</f>
        <v>Sneakers</v>
      </c>
      <c r="I13" s="21" t="str">
        <f t="shared" si="0"/>
        <v>Fashion</v>
      </c>
      <c r="J13" s="8">
        <v>25</v>
      </c>
      <c r="K13" s="8" t="s">
        <v>123</v>
      </c>
      <c r="L13" s="8" t="str">
        <f t="shared" si="1"/>
        <v>Sneakers Adidas</v>
      </c>
      <c r="M13" s="17">
        <v>46351</v>
      </c>
    </row>
    <row r="14" spans="1:13" ht="15.75" customHeight="1" x14ac:dyDescent="0.25">
      <c r="A14" s="5" t="s">
        <v>64</v>
      </c>
      <c r="B14" s="10" t="s">
        <v>34</v>
      </c>
      <c r="C14" s="10" t="s">
        <v>65</v>
      </c>
      <c r="D14" s="10">
        <v>120</v>
      </c>
      <c r="E14" s="5">
        <v>35</v>
      </c>
      <c r="F14" s="10"/>
      <c r="G14" s="13">
        <f t="shared" si="2"/>
        <v>120</v>
      </c>
      <c r="H14" s="21" t="str">
        <f>PROPER(Table1[[#This Row],[Product Name]])</f>
        <v>Coffee Maker</v>
      </c>
      <c r="I14" s="21" t="str">
        <f t="shared" si="0"/>
        <v>Kitchen</v>
      </c>
      <c r="J14" s="5">
        <v>8</v>
      </c>
      <c r="K14" s="5" t="s">
        <v>124</v>
      </c>
      <c r="L14" s="5" t="str">
        <f t="shared" si="1"/>
        <v>Coffee Maker Nespresso</v>
      </c>
      <c r="M14" s="16">
        <v>46364</v>
      </c>
    </row>
    <row r="15" spans="1:13" ht="15.75" customHeight="1" x14ac:dyDescent="0.25">
      <c r="A15" s="8" t="s">
        <v>66</v>
      </c>
      <c r="B15" s="11" t="s">
        <v>67</v>
      </c>
      <c r="C15" s="11" t="s">
        <v>68</v>
      </c>
      <c r="D15" s="11">
        <v>150</v>
      </c>
      <c r="E15" s="8">
        <v>15</v>
      </c>
      <c r="F15" s="11" t="s">
        <v>28</v>
      </c>
      <c r="G15" s="13">
        <f t="shared" si="2"/>
        <v>150</v>
      </c>
      <c r="H15" s="22" t="str">
        <f>PROPER(Table1[[#This Row],[Product Name]])</f>
        <v>Smartwatch</v>
      </c>
      <c r="I15" s="21" t="str">
        <f t="shared" si="0"/>
        <v>Electronics</v>
      </c>
      <c r="J15" s="8">
        <v>18</v>
      </c>
      <c r="K15" s="8" t="s">
        <v>125</v>
      </c>
      <c r="L15" s="8" t="str">
        <f t="shared" si="1"/>
        <v>Smartwatch Fitbit</v>
      </c>
      <c r="M15" s="17">
        <v>46071</v>
      </c>
    </row>
    <row r="16" spans="1:13" ht="15.75" customHeight="1" x14ac:dyDescent="0.25">
      <c r="A16" s="5" t="s">
        <v>69</v>
      </c>
      <c r="B16" s="10" t="s">
        <v>70</v>
      </c>
      <c r="C16" s="10" t="s">
        <v>71</v>
      </c>
      <c r="D16" s="10">
        <v>250</v>
      </c>
      <c r="E16" s="5">
        <v>20</v>
      </c>
      <c r="F16" s="10" t="s">
        <v>28</v>
      </c>
      <c r="G16" s="13">
        <f t="shared" si="2"/>
        <v>250</v>
      </c>
      <c r="H16" s="21" t="str">
        <f>PROPER(Table1[[#This Row],[Product Name]])</f>
        <v>Headphones</v>
      </c>
      <c r="I16" s="21" t="str">
        <f t="shared" si="0"/>
        <v>Electronics</v>
      </c>
      <c r="J16" s="5">
        <v>16</v>
      </c>
      <c r="K16" s="5" t="s">
        <v>126</v>
      </c>
      <c r="L16" s="5" t="str">
        <f t="shared" si="1"/>
        <v>headphones Bose</v>
      </c>
      <c r="M16" s="16">
        <v>46128</v>
      </c>
    </row>
    <row r="17" spans="1:13" ht="15.75" customHeight="1" x14ac:dyDescent="0.25">
      <c r="A17" s="8" t="s">
        <v>72</v>
      </c>
      <c r="B17" s="11" t="s">
        <v>73</v>
      </c>
      <c r="C17" s="11" t="s">
        <v>74</v>
      </c>
      <c r="D17" s="11">
        <v>50</v>
      </c>
      <c r="E17" s="8">
        <v>35</v>
      </c>
      <c r="F17" s="11" t="s">
        <v>75</v>
      </c>
      <c r="G17" s="13">
        <f t="shared" si="2"/>
        <v>50</v>
      </c>
      <c r="H17" s="22" t="str">
        <f>PROPER(Table1[[#This Row],[Product Name]])</f>
        <v>Laptop Bag</v>
      </c>
      <c r="I17" s="21" t="str">
        <f t="shared" si="0"/>
        <v>Accessories</v>
      </c>
      <c r="J17" s="8">
        <v>21</v>
      </c>
      <c r="K17" s="8" t="s">
        <v>125</v>
      </c>
      <c r="L17" s="8" t="str">
        <f t="shared" si="1"/>
        <v>Laptop Bag Samsonite</v>
      </c>
      <c r="M17" s="17">
        <v>46255</v>
      </c>
    </row>
    <row r="18" spans="1:13" ht="15.75" customHeight="1" x14ac:dyDescent="0.25">
      <c r="A18" s="5" t="s">
        <v>76</v>
      </c>
      <c r="B18" s="10" t="s">
        <v>67</v>
      </c>
      <c r="C18" s="10" t="s">
        <v>77</v>
      </c>
      <c r="D18" s="10">
        <v>160</v>
      </c>
      <c r="E18" s="5">
        <v>15</v>
      </c>
      <c r="F18" s="10" t="s">
        <v>28</v>
      </c>
      <c r="G18" s="13">
        <f t="shared" si="2"/>
        <v>160</v>
      </c>
      <c r="H18" s="21" t="str">
        <f>PROPER(Table1[[#This Row],[Product Name]])</f>
        <v>Smartwatch</v>
      </c>
      <c r="I18" s="21" t="str">
        <f t="shared" si="0"/>
        <v>Electronics</v>
      </c>
      <c r="J18" s="5">
        <v>20</v>
      </c>
      <c r="K18" s="5" t="s">
        <v>127</v>
      </c>
      <c r="L18" s="5" t="str">
        <f t="shared" si="1"/>
        <v>Smartwatch Huawei</v>
      </c>
      <c r="M18" s="16">
        <v>46254</v>
      </c>
    </row>
    <row r="19" spans="1:13" ht="15.75" customHeight="1" x14ac:dyDescent="0.25">
      <c r="A19" s="8" t="s">
        <v>78</v>
      </c>
      <c r="B19" s="11" t="s">
        <v>26</v>
      </c>
      <c r="C19" s="11" t="s">
        <v>79</v>
      </c>
      <c r="D19" s="11">
        <v>980</v>
      </c>
      <c r="E19" s="8">
        <v>10</v>
      </c>
      <c r="F19" s="11" t="s">
        <v>28</v>
      </c>
      <c r="G19" s="13">
        <f t="shared" si="2"/>
        <v>980</v>
      </c>
      <c r="H19" s="22" t="str">
        <f>PROPER(Table1[[#This Row],[Product Name]])</f>
        <v>Laptop</v>
      </c>
      <c r="I19" s="21" t="str">
        <f t="shared" si="0"/>
        <v>Electronics</v>
      </c>
      <c r="J19" s="8">
        <v>27</v>
      </c>
      <c r="K19" s="8" t="s">
        <v>128</v>
      </c>
      <c r="L19" s="8" t="str">
        <f t="shared" si="1"/>
        <v>laptop Asus</v>
      </c>
      <c r="M19" s="17">
        <v>46049</v>
      </c>
    </row>
    <row r="20" spans="1:13" ht="15.75" customHeight="1" x14ac:dyDescent="0.25">
      <c r="A20" s="5" t="s">
        <v>80</v>
      </c>
      <c r="B20" s="10" t="s">
        <v>81</v>
      </c>
      <c r="C20" s="10" t="s">
        <v>82</v>
      </c>
      <c r="D20" s="10">
        <v>150</v>
      </c>
      <c r="E20" s="5">
        <v>15</v>
      </c>
      <c r="F20" s="10" t="s">
        <v>32</v>
      </c>
      <c r="G20" s="13">
        <f t="shared" si="2"/>
        <v>150</v>
      </c>
      <c r="H20" s="21" t="str">
        <f>PROPER(Table1[[#This Row],[Product Name]])</f>
        <v>Sunglasses</v>
      </c>
      <c r="I20" s="21" t="str">
        <f t="shared" si="0"/>
        <v>Fashion</v>
      </c>
      <c r="J20" s="5">
        <v>1</v>
      </c>
      <c r="K20" s="5" t="s">
        <v>121</v>
      </c>
      <c r="L20" s="5" t="str">
        <f t="shared" si="1"/>
        <v>Sunglasses Oakley</v>
      </c>
      <c r="M20" s="16">
        <v>46082</v>
      </c>
    </row>
    <row r="21" spans="1:13" ht="15.75" customHeight="1" x14ac:dyDescent="0.25">
      <c r="A21" s="8" t="s">
        <v>83</v>
      </c>
      <c r="B21" s="11" t="s">
        <v>84</v>
      </c>
      <c r="C21" s="11" t="s">
        <v>85</v>
      </c>
      <c r="D21" s="11"/>
      <c r="E21" s="8">
        <v>10</v>
      </c>
      <c r="F21" s="11" t="s">
        <v>59</v>
      </c>
      <c r="G21" s="13">
        <f t="shared" si="2"/>
        <v>251</v>
      </c>
      <c r="H21" s="22" t="str">
        <f>PROPER(Table1[[#This Row],[Product Name]])</f>
        <v>Camping Tent</v>
      </c>
      <c r="I21" s="21" t="str">
        <f t="shared" si="0"/>
        <v>Outdoor</v>
      </c>
      <c r="J21" s="8">
        <v>14</v>
      </c>
      <c r="K21" s="8" t="s">
        <v>120</v>
      </c>
      <c r="L21" s="8" t="str">
        <f t="shared" si="1"/>
        <v>Camping Tent Coleman</v>
      </c>
      <c r="M21" s="17">
        <v>46248</v>
      </c>
    </row>
    <row r="22" spans="1:13" ht="15.75" customHeight="1" x14ac:dyDescent="0.25">
      <c r="A22" s="5" t="s">
        <v>86</v>
      </c>
      <c r="B22" s="10" t="s">
        <v>87</v>
      </c>
      <c r="C22" s="10" t="s">
        <v>88</v>
      </c>
      <c r="D22" s="10">
        <v>700</v>
      </c>
      <c r="E22" s="5">
        <v>50</v>
      </c>
      <c r="F22" s="10" t="s">
        <v>28</v>
      </c>
      <c r="G22" s="13">
        <f t="shared" si="2"/>
        <v>700</v>
      </c>
      <c r="H22" s="21" t="str">
        <f>PROPER(Table1[[#This Row],[Product Name]])</f>
        <v>Camera</v>
      </c>
      <c r="I22" s="21" t="str">
        <f t="shared" si="0"/>
        <v>Electronics</v>
      </c>
      <c r="J22" s="5">
        <v>14</v>
      </c>
      <c r="K22" s="5" t="s">
        <v>129</v>
      </c>
      <c r="L22" s="5" t="str">
        <f t="shared" si="1"/>
        <v>Camera Nikon</v>
      </c>
      <c r="M22" s="16">
        <v>46156</v>
      </c>
    </row>
    <row r="23" spans="1:13" ht="15.75" customHeight="1" x14ac:dyDescent="0.25">
      <c r="A23" s="8" t="s">
        <v>89</v>
      </c>
      <c r="B23" s="11" t="s">
        <v>90</v>
      </c>
      <c r="C23" s="11" t="s">
        <v>91</v>
      </c>
      <c r="D23" s="11">
        <v>80</v>
      </c>
      <c r="E23" s="8">
        <v>20</v>
      </c>
      <c r="F23" s="11" t="s">
        <v>36</v>
      </c>
      <c r="G23" s="13">
        <f t="shared" si="2"/>
        <v>80</v>
      </c>
      <c r="H23" s="22" t="str">
        <f>PROPER(Table1[[#This Row],[Product Name]])</f>
        <v>Microwave</v>
      </c>
      <c r="I23" s="21" t="str">
        <f t="shared" si="0"/>
        <v>Kitchen</v>
      </c>
      <c r="J23" s="8">
        <v>9</v>
      </c>
      <c r="K23" s="8" t="s">
        <v>125</v>
      </c>
      <c r="L23" s="8" t="str">
        <f t="shared" si="1"/>
        <v>Microwave Panasonic</v>
      </c>
      <c r="M23" s="17">
        <v>46031</v>
      </c>
    </row>
    <row r="24" spans="1:13" ht="15.75" customHeight="1" x14ac:dyDescent="0.25">
      <c r="A24" s="5" t="s">
        <v>92</v>
      </c>
      <c r="B24" s="10" t="s">
        <v>93</v>
      </c>
      <c r="C24" s="10" t="s">
        <v>94</v>
      </c>
      <c r="D24" s="10">
        <v>150</v>
      </c>
      <c r="E24" s="5">
        <v>30</v>
      </c>
      <c r="F24" s="10"/>
      <c r="G24" s="13">
        <f t="shared" si="2"/>
        <v>150</v>
      </c>
      <c r="H24" s="21" t="str">
        <f>PROPER(Table1[[#This Row],[Product Name]])</f>
        <v>Fitness Tracker</v>
      </c>
      <c r="I24" s="21" t="str">
        <f t="shared" si="0"/>
        <v>Electronics</v>
      </c>
      <c r="J24" s="5">
        <v>19</v>
      </c>
      <c r="K24" s="5" t="s">
        <v>130</v>
      </c>
      <c r="L24" s="5" t="str">
        <f t="shared" si="1"/>
        <v>Fitness Tracker Xiaomi</v>
      </c>
      <c r="M24" s="16">
        <v>46222</v>
      </c>
    </row>
    <row r="25" spans="1:13" ht="15.75" customHeight="1" x14ac:dyDescent="0.25">
      <c r="A25" s="8" t="s">
        <v>95</v>
      </c>
      <c r="B25" s="11" t="s">
        <v>96</v>
      </c>
      <c r="C25" s="11" t="s">
        <v>97</v>
      </c>
      <c r="D25" s="11">
        <v>800</v>
      </c>
      <c r="E25" s="8">
        <v>45</v>
      </c>
      <c r="F25" s="11" t="s">
        <v>28</v>
      </c>
      <c r="G25" s="13">
        <f t="shared" si="2"/>
        <v>800</v>
      </c>
      <c r="H25" s="22" t="str">
        <f>PROPER(Table1[[#This Row],[Product Name]])</f>
        <v>Smartphone</v>
      </c>
      <c r="I25" s="21" t="str">
        <f t="shared" si="0"/>
        <v>Electronics</v>
      </c>
      <c r="J25" s="8">
        <v>29</v>
      </c>
      <c r="K25" s="8" t="s">
        <v>125</v>
      </c>
      <c r="L25" s="8" t="str">
        <f t="shared" si="1"/>
        <v>Smartphone Google</v>
      </c>
      <c r="M25" s="17">
        <v>46294</v>
      </c>
    </row>
    <row r="26" spans="1:13" ht="15.75" customHeight="1" x14ac:dyDescent="0.25">
      <c r="A26" s="5" t="s">
        <v>98</v>
      </c>
      <c r="B26" s="10" t="s">
        <v>81</v>
      </c>
      <c r="C26" s="10" t="s">
        <v>99</v>
      </c>
      <c r="D26" s="10"/>
      <c r="E26" s="5">
        <v>25</v>
      </c>
      <c r="F26" s="10" t="s">
        <v>32</v>
      </c>
      <c r="G26" s="13">
        <f t="shared" si="2"/>
        <v>130</v>
      </c>
      <c r="H26" s="21" t="str">
        <f>PROPER(Table1[[#This Row],[Product Name]])</f>
        <v>Sunglasses</v>
      </c>
      <c r="I26" s="21" t="str">
        <f t="shared" si="0"/>
        <v>Fashion</v>
      </c>
      <c r="J26" s="5">
        <v>3</v>
      </c>
      <c r="K26" s="5" t="s">
        <v>125</v>
      </c>
      <c r="L26" s="5" t="str">
        <f t="shared" si="1"/>
        <v>Sunglasses Ray-Ban</v>
      </c>
      <c r="M26" s="16">
        <v>46176</v>
      </c>
    </row>
    <row r="27" spans="1:13" ht="15.75" customHeight="1" x14ac:dyDescent="0.25">
      <c r="A27" s="8" t="s">
        <v>100</v>
      </c>
      <c r="B27" s="11" t="s">
        <v>51</v>
      </c>
      <c r="C27" s="11" t="s">
        <v>101</v>
      </c>
      <c r="D27" s="11">
        <v>400</v>
      </c>
      <c r="E27" s="8">
        <v>40</v>
      </c>
      <c r="F27" s="11" t="s">
        <v>36</v>
      </c>
      <c r="G27" s="13">
        <f t="shared" si="2"/>
        <v>400</v>
      </c>
      <c r="H27" s="22" t="str">
        <f>PROPER(Table1[[#This Row],[Product Name]])</f>
        <v>Blender</v>
      </c>
      <c r="I27" s="21" t="str">
        <f t="shared" si="0"/>
        <v>Kitchen</v>
      </c>
      <c r="J27" s="8">
        <v>11</v>
      </c>
      <c r="K27" s="8" t="s">
        <v>125</v>
      </c>
      <c r="L27" s="8" t="str">
        <f t="shared" si="1"/>
        <v>Blender Vitamix</v>
      </c>
      <c r="M27" s="17">
        <v>46214</v>
      </c>
    </row>
    <row r="28" spans="1:13" ht="15.75" customHeight="1" x14ac:dyDescent="0.25">
      <c r="A28" s="5" t="s">
        <v>102</v>
      </c>
      <c r="B28" s="10" t="s">
        <v>103</v>
      </c>
      <c r="C28" s="10" t="s">
        <v>104</v>
      </c>
      <c r="D28" s="10">
        <v>60</v>
      </c>
      <c r="E28" s="5">
        <v>30</v>
      </c>
      <c r="F28" s="10" t="s">
        <v>32</v>
      </c>
      <c r="G28" s="13">
        <f t="shared" si="2"/>
        <v>60</v>
      </c>
      <c r="H28" s="21" t="str">
        <f>PROPER(Table1[[#This Row],[Product Name]])</f>
        <v>Dress</v>
      </c>
      <c r="I28" s="21" t="str">
        <f t="shared" si="0"/>
        <v>Fashion</v>
      </c>
      <c r="J28" s="5">
        <v>7</v>
      </c>
      <c r="K28" s="5" t="s">
        <v>125</v>
      </c>
      <c r="L28" s="5" t="str">
        <f t="shared" si="1"/>
        <v>Dress Zara</v>
      </c>
      <c r="M28" s="16">
        <v>46088</v>
      </c>
    </row>
    <row r="29" spans="1:13" ht="15.75" customHeight="1" x14ac:dyDescent="0.25">
      <c r="A29" s="8" t="s">
        <v>105</v>
      </c>
      <c r="B29" s="11" t="s">
        <v>106</v>
      </c>
      <c r="C29" s="11" t="s">
        <v>107</v>
      </c>
      <c r="D29" s="11">
        <v>40</v>
      </c>
      <c r="E29" s="8">
        <v>10</v>
      </c>
      <c r="F29" s="11" t="s">
        <v>36</v>
      </c>
      <c r="G29" s="13">
        <f t="shared" si="2"/>
        <v>40</v>
      </c>
      <c r="H29" s="22" t="str">
        <f>PROPER(Table1[[#This Row],[Product Name]])</f>
        <v>Toaster</v>
      </c>
      <c r="I29" s="21" t="str">
        <f t="shared" si="0"/>
        <v>Kitchen</v>
      </c>
      <c r="J29" s="8">
        <v>13</v>
      </c>
      <c r="K29" s="8" t="s">
        <v>125</v>
      </c>
      <c r="L29" s="8" t="str">
        <f t="shared" si="1"/>
        <v>Toaster Hamilton</v>
      </c>
      <c r="M29" s="17">
        <v>46125</v>
      </c>
    </row>
    <row r="30" spans="1:13" ht="15.75" customHeight="1" x14ac:dyDescent="0.25">
      <c r="A30" s="5" t="s">
        <v>108</v>
      </c>
      <c r="B30" s="10" t="s">
        <v>93</v>
      </c>
      <c r="C30" s="10" t="s">
        <v>109</v>
      </c>
      <c r="D30" s="10">
        <v>130</v>
      </c>
      <c r="E30" s="5">
        <v>5</v>
      </c>
      <c r="F30" s="10" t="s">
        <v>28</v>
      </c>
      <c r="G30" s="13">
        <f t="shared" si="2"/>
        <v>130</v>
      </c>
      <c r="H30" s="21" t="str">
        <f>PROPER(Table1[[#This Row],[Product Name]])</f>
        <v>Fitness Tracker</v>
      </c>
      <c r="I30" s="21" t="str">
        <f t="shared" si="0"/>
        <v>Electronics</v>
      </c>
      <c r="J30" s="5">
        <v>24</v>
      </c>
      <c r="K30" s="5" t="s">
        <v>125</v>
      </c>
      <c r="L30" s="5" t="str">
        <f t="shared" si="1"/>
        <v>Fitness Tracker Garmin</v>
      </c>
      <c r="M30" s="16">
        <v>46166</v>
      </c>
    </row>
    <row r="31" spans="1:13" ht="15.75" customHeight="1" x14ac:dyDescent="0.25">
      <c r="A31" s="8" t="s">
        <v>110</v>
      </c>
      <c r="B31" s="11" t="s">
        <v>111</v>
      </c>
      <c r="C31" s="11" t="s">
        <v>112</v>
      </c>
      <c r="D31" s="11">
        <v>50</v>
      </c>
      <c r="E31" s="8">
        <v>50</v>
      </c>
      <c r="F31" s="11" t="s">
        <v>32</v>
      </c>
      <c r="G31" s="13">
        <f t="shared" si="2"/>
        <v>50</v>
      </c>
      <c r="H31" s="22" t="str">
        <f>PROPER(Table1[[#This Row],[Product Name]])</f>
        <v>Jeans</v>
      </c>
      <c r="I31" s="21" t="str">
        <f t="shared" si="0"/>
        <v>Fashion</v>
      </c>
      <c r="J31" s="8">
        <v>2</v>
      </c>
      <c r="K31" s="8" t="s">
        <v>125</v>
      </c>
      <c r="L31" s="8" t="str">
        <f t="shared" si="1"/>
        <v>Jeans Levi's</v>
      </c>
      <c r="M31" s="17">
        <v>46358</v>
      </c>
    </row>
    <row r="32" spans="1:13" ht="15.75" customHeight="1" x14ac:dyDescent="0.25">
      <c r="A32" s="5" t="s">
        <v>113</v>
      </c>
      <c r="B32" s="10" t="s">
        <v>114</v>
      </c>
      <c r="C32" s="10" t="s">
        <v>115</v>
      </c>
      <c r="D32" s="10">
        <v>100</v>
      </c>
      <c r="E32" s="5">
        <v>20</v>
      </c>
      <c r="F32" s="10" t="s">
        <v>75</v>
      </c>
      <c r="G32" s="13">
        <f t="shared" si="2"/>
        <v>100</v>
      </c>
      <c r="H32" s="21" t="str">
        <f>PROPER(Table1[[#This Row],[Product Name]])</f>
        <v>Watch</v>
      </c>
      <c r="I32" s="21" t="str">
        <f t="shared" si="0"/>
        <v>Accessories</v>
      </c>
      <c r="J32" s="5">
        <v>9</v>
      </c>
      <c r="K32" s="5" t="s">
        <v>131</v>
      </c>
      <c r="L32" s="5" t="str">
        <f t="shared" si="1"/>
        <v>Watch Casio</v>
      </c>
      <c r="M32" s="16">
        <v>46212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conditionalFormatting sqref="B6">
    <cfRule type="duplicateValues" dxfId="5" priority="10"/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{F35BD2C6-A31B-4DD4-A50A-73B0A41DDA96}</x14:id>
        </ext>
      </extLst>
    </cfRule>
  </conditionalFormatting>
  <conditionalFormatting sqref="I1:I1048576">
    <cfRule type="cellIs" dxfId="4" priority="2" operator="equal">
      <formula>"Electronics"</formula>
    </cfRule>
    <cfRule type="cellIs" dxfId="3" priority="3" operator="equal">
      <formula>"Electronics"</formula>
    </cfRule>
    <cfRule type="cellIs" dxfId="2" priority="4" operator="equal">
      <formula>"Electronics"</formula>
    </cfRule>
  </conditionalFormatting>
  <conditionalFormatting sqref="I2">
    <cfRule type="cellIs" dxfId="1" priority="5" operator="equal">
      <formula>"Electronics"</formula>
    </cfRule>
  </conditionalFormatting>
  <pageMargins left="0.7" right="0.7" top="0.75" bottom="0.75" header="0.3" footer="0.3"/>
  <ignoredErrors>
    <ignoredError sqref="G2" calculatedColumn="1"/>
    <ignoredError sqref="G3:G7 G9:G21 G23:G26 G28:G32" formulaRange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BD2C6-A31B-4DD4-A50A-73B0A41DDA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 Cleaning-Dummy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</cp:lastModifiedBy>
  <dcterms:modified xsi:type="dcterms:W3CDTF">2026-04-15T14:26:08Z</dcterms:modified>
</cp:coreProperties>
</file>